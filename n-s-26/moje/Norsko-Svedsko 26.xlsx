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tecmaplast-my.sharepoint.com/personal/jkrenek_tecmaplast_cz/Documents/Plocha/"/>
    </mc:Choice>
  </mc:AlternateContent>
  <xr:revisionPtr revIDLastSave="144" documentId="8_{2737BAF2-4CC8-4D8F-B605-A1A387DEF2C8}" xr6:coauthVersionLast="47" xr6:coauthVersionMax="47" xr10:uidLastSave="{85A07F93-808A-4E4A-ACD9-78DBA1663365}"/>
  <bookViews>
    <workbookView xWindow="-120" yWindow="-120" windowWidth="29040" windowHeight="15720" xr2:uid="{9996BAA1-986B-4001-8B00-B4AACCC1E9FB}"/>
  </bookViews>
  <sheets>
    <sheet name="Lis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1" i="1" l="1"/>
  <c r="D1" i="1"/>
  <c r="F1" i="1"/>
</calcChain>
</file>

<file path=xl/sharedStrings.xml><?xml version="1.0" encoding="utf-8"?>
<sst xmlns="http://schemas.openxmlformats.org/spreadsheetml/2006/main" count="86" uniqueCount="51">
  <si>
    <t>sobota</t>
  </si>
  <si>
    <t>neděle</t>
  </si>
  <si>
    <t>pondělí</t>
  </si>
  <si>
    <t>úterý</t>
  </si>
  <si>
    <t>středa</t>
  </si>
  <si>
    <t>čtvrtek</t>
  </si>
  <si>
    <t>pátek</t>
  </si>
  <si>
    <t>odjezd 23:45</t>
  </si>
  <si>
    <t>Rostock (DE)-Trelleborg</t>
  </si>
  <si>
    <t>Trelleborg-Rostock (DE)</t>
  </si>
  <si>
    <t>odjezd 23:00</t>
  </si>
  <si>
    <t>Myrkulla</t>
  </si>
  <si>
    <t>Národní park Skuleskogen (oblast Höga Kusten): Zastávka na trase E4. Unikátní krajina s hlubokou pískovcovou štěrbinou (Slåttdalsskrevan) a výhledy na Baltské moře.</t>
  </si>
  <si>
    <t>Ales Stenar: megalitická památka (tzv. „švédské Stonehenge“), tvořenou 59 velkými kameny ve tvaru lodi na útesu nad mořem. Zastávka je logisticky nenáročná.</t>
  </si>
  <si>
    <t>Vimmerby</t>
  </si>
  <si>
    <t>Astrid Lindgrens Värld (Vimmerby). Centrem parku je replika vily Vilekuly. Návštěva zabere minimálně 3–4 hodiny</t>
  </si>
  <si>
    <t>Axmarbruk</t>
  </si>
  <si>
    <t>Oslo</t>
  </si>
  <si>
    <t>Goteborg</t>
  </si>
  <si>
    <t>Lillehammer</t>
  </si>
  <si>
    <t>Dopoledne/odpoledne procházka v Oslu, přejezd do Lillehammeru</t>
  </si>
  <si>
    <t>NP Rondane</t>
  </si>
  <si>
    <t>Tůra v NP (Peer Gynt Hytta, Vodopád) - árodní park Rondane nabízí pozvolné kopce a široké cesty. Zajeďte na zpoplatněné parkoviště Spranget. Odtud vede krásná, široká štěrková cesta k chatě Rondvassbu. Trasa má zhruba 7 km tam i zpět, téměř nulové převýšení a zabere asi 2 hodiny. Je to ideální lehká procházka pro teriéra. Pes zde musí být celoročně (resp. v létě do 20. srpna) striktně na vodítku kvůli volně žijícím sobům.</t>
  </si>
  <si>
    <t>Dovrefjell (Hjerkinn) - V oblasti Hjerkinn (Dovrefjell) se nachází ohromující pozorovací pavilon Viewpoint Snøhetta. Od parkoviště vede široká štěrková cesta (1,5 km, převýšení 120 m), jejíž zdolání trvá 15–20 minut. Architektonicky unikátní prosklená budova nabízí výhled na horu Snøhetta. Psa nelze vzít dovnitř, ale venku jsou úvazy. Při túře mějte oči na stopkách – žijí zde divocí pižmoni, od kterých musíte dodržet bezpečnou vzdálenost minimálně 200 metrů.</t>
  </si>
  <si>
    <t>Trondheim</t>
  </si>
  <si>
    <t>Sundalsora</t>
  </si>
  <si>
    <t xml:space="preserve">Odpočinkový den plný úžasných scenérií a jízd lokálními trajekty přes fjordy. Záměrně se tak vyhnete přeplněnému Geirangerfjordu a masivnímu ruchu na jihozápadě. Zastavujte na vyhlídkách a užívejte si krátké procházky kolem pláží. </t>
  </si>
  <si>
    <t>Modrý ledovec Svartisen - Z přístaviště jezdí přes fjord krátký lodní spoj (Isprins) k molu Engen brygge. Přeprava trvá asi 10-20 minut a pes má na loď přístup (cena za psa je cca 40–95 NOK, dospělý cca 315 NOK). Od přístaviště půjdete po rovinaté štěrkové cestě podél jezera (cca 5 km), teprve v samotném závěru (asi 1 km) cesta stoupá 200 výškových metrů po ohlazených kamenech až k modrému ledovci Engenbreen. S teriérem i rodinou se to dá bez potíží zvládnout tam i zpět do 4 hodin</t>
  </si>
  <si>
    <t>Shuttle Boat to Svartisen Glacier</t>
  </si>
  <si>
    <t>Junkerdal</t>
  </si>
  <si>
    <t>Udělejte si pauzu v obci Storjord (Saltdal). Zde se nachází velmi nenáročný okruh k vodopádu Kjemåfossen (cca 5 km, převýšení jen 60 m, doba chůze něco málo přes hodinu). Údolí je geologicky výjimečné vápencovým podložím, díky kterému zde rostou extrémně vzácné druhy alpských rostlin.</t>
  </si>
  <si>
    <t>Detail</t>
  </si>
  <si>
    <t>Popis</t>
  </si>
  <si>
    <t>Cílová destinace</t>
  </si>
  <si>
    <t>po cestě Innerdalen - nejkrásnější údolí v Norsku - Zaparkujte na vyhrazeném parkovišti v Nerdalenu (vjezd auty hlouběji je zakázán). Odtud vás čeká chůze klesajícím a stoupajícím terénem po farmářské cestě podél divoké řeky k chatě Renndølsetra. Trasa k chatě měří cca 3,5 až 4 km a zabere hodinu. V chatě pečou vyhlášené norské vafle, uvidíte volně se pasoucí zvířata a ikonickou horu Innerdalstårnet. Svačina, cesta zpět a fotopauzy zaberou celkem ideální 3 až 4 hodiny.
Nocleh a procházka  Trondheimu.</t>
  </si>
  <si>
    <t>Ubytko</t>
  </si>
  <si>
    <t>kajuta trajekt</t>
  </si>
  <si>
    <t>storno zdarma?</t>
  </si>
  <si>
    <t>do 25.7.</t>
  </si>
  <si>
    <t>https://www.airbnb.com/l/vm9lshSQ?s=67&amp;unique_share_id=fab866a2-b389-4918-886e-572f27d4e609</t>
  </si>
  <si>
    <t>Laksforsen</t>
  </si>
  <si>
    <t>Park4Night - Haugen Camping</t>
  </si>
  <si>
    <t>Alternativa P4N: Gluggvasshaug E6 odpočívadlo zdarma</t>
  </si>
  <si>
    <t xml:space="preserve">Furøy </t>
  </si>
  <si>
    <t>2 trajekty na cestě</t>
  </si>
  <si>
    <t>https://www.furoycamp.no/</t>
  </si>
  <si>
    <t>Park4Night - Graddis fjellstue, camping ob Bobilutleie</t>
  </si>
  <si>
    <t>mail</t>
  </si>
  <si>
    <t>B</t>
  </si>
  <si>
    <t>S</t>
  </si>
  <si>
    <t>30.7.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</si>
</sst>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0\ &quot;Kč&quot;;[Red]\-#,##0\ &quot;Kč&quot;"/>
  </numFmts>
  <fonts count="4" x14ac:knownFonts="1">
    <font>
      <sz val="11"/>
      <color theme="1"/>
      <name val="Aptos Narrow"/>
      <family val="2"/>
      <charset val="238"/>
      <scheme val="minor"/>
    </font>
    <font>
      <sz val="8"/>
      <name val="Aptos Narrow"/>
      <family val="2"/>
      <charset val="238"/>
      <scheme val="minor"/>
    </font>
    <font>
      <u/>
      <sz val="11"/>
      <color theme="10"/>
      <name val="Aptos Narrow"/>
      <family val="2"/>
      <charset val="238"/>
      <scheme val="minor"/>
    </font>
    <font>
      <b/>
      <sz val="11"/>
      <color theme="1"/>
      <name val="Aptos Narrow"/>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3">
    <xf numFmtId="0" fontId="0" fillId="0" borderId="0" xfId="0"/>
    <xf numFmtId="0" fontId="0" fillId="0" borderId="0" xfId="0" applyAlignment="1">
      <alignment vertical="center"/>
    </xf>
    <xf numFmtId="0" fontId="0" fillId="0" borderId="0" xfId="0" applyAlignment="1">
      <alignment vertical="center" wrapText="1"/>
    </xf>
    <xf numFmtId="14" fontId="0" fillId="2" borderId="0" xfId="0" applyNumberFormat="1" applyFill="1" applyAlignment="1">
      <alignment vertical="center"/>
    </xf>
    <xf numFmtId="0" fontId="0" fillId="2" borderId="0" xfId="0" applyFill="1" applyAlignment="1">
      <alignment vertical="center"/>
    </xf>
    <xf numFmtId="0" fontId="0" fillId="2" borderId="0" xfId="0" applyFill="1" applyAlignment="1">
      <alignment vertical="center" wrapText="1"/>
    </xf>
    <xf numFmtId="14" fontId="0" fillId="0" borderId="0" xfId="0" applyNumberFormat="1" applyAlignment="1">
      <alignment vertical="center"/>
    </xf>
    <xf numFmtId="6" fontId="0" fillId="2" borderId="0" xfId="0" applyNumberFormat="1" applyFill="1" applyAlignment="1">
      <alignment vertical="center"/>
    </xf>
    <xf numFmtId="0" fontId="2" fillId="2" borderId="0" xfId="1" applyFill="1" applyAlignment="1">
      <alignment vertical="center"/>
    </xf>
    <xf numFmtId="6" fontId="0" fillId="0" borderId="0" xfId="0" applyNumberFormat="1" applyAlignment="1">
      <alignment vertical="center"/>
    </xf>
    <xf numFmtId="0" fontId="3" fillId="0" borderId="0" xfId="0" applyFont="1" applyAlignment="1">
      <alignment vertical="center"/>
    </xf>
    <xf numFmtId="0" fontId="3" fillId="0" borderId="0" xfId="0" applyNumberFormat="1" applyFont="1" applyAlignment="1">
      <alignment vertical="center"/>
    </xf>
    <xf numFmtId="0" fontId="3" fillId="0" borderId="0" xfId="0" applyFont="1" applyAlignment="1">
      <alignment vertical="center" wrapText="1"/>
    </xf>
  </cellXfs>
  <cellStyles count="2">
    <cellStyle name="Hypertextový odkaz" xfId="1" builtinId="8"/>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Motiv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9D9BBF3-C95D-4A83-A015-81668368ACE4}">
  <we:reference id="WA200009404" version="1.0.0.8" store="Omex" storeType="OMEX"/>
  <we:alternateReferences>
    <we:reference id="WA200009404" version="1.0.0.8" store="WA200009404" storeType="OMEX"/>
  </we:alternateReferences>
  <we:properties>
    <we:property name="claude.fileId" value="&quot;072609a2-5e8d-4741-9cbe-73f1386128b9&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hyperlink" Target="https://www.furoycamp.no/" TargetMode="External"/><Relationship Id="rId2" Type="http://schemas.openxmlformats.org/officeDocument/2006/relationships/hyperlink" Target="https://www.furoycamp.no/" TargetMode="External"/><Relationship Id="rId1" Type="http://schemas.openxmlformats.org/officeDocument/2006/relationships/hyperlink" Target="https://www.airbnb.com/l/vm9lshSQ?s=67&amp;unique_share_id=fab866a2-b389-4918-886e-572f27d4e609"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43C1F-F7AA-42F1-A3F8-C43550195725}">
  <dimension ref="A1:J29"/>
  <sheetViews>
    <sheetView tabSelected="1" zoomScale="183" workbookViewId="0">
      <selection activeCell="E6" sqref="E6"/>
    </sheetView>
  </sheetViews>
  <sheetFormatPr defaultRowHeight="15" x14ac:dyDescent="0.25"/>
  <cols>
    <col min="1" max="1" width="15" style="1" customWidth="1"/>
    <col min="2" max="2" width="9.140625" style="1"/>
    <col min="3" max="3" width="22.140625" style="1" bestFit="1" customWidth="1"/>
    <col min="4" max="5" width="22.140625" style="1" customWidth="1"/>
    <col min="6" max="6" width="27.28515625" style="1" customWidth="1"/>
    <col min="7" max="8" width="22.140625" style="1" customWidth="1"/>
    <col min="9" max="9" width="29.28515625" style="1" bestFit="1" customWidth="1"/>
    <col min="10" max="10" width="80.5703125" style="2" customWidth="1"/>
    <col min="11" max="16384" width="9.140625" style="1"/>
  </cols>
  <sheetData>
    <row r="1" spans="1:10" s="10" customFormat="1" x14ac:dyDescent="0.25">
      <c r="C1" s="10" t="s">
        <v>33</v>
      </c>
      <c r="D1" s="10" t="str">
        <f>"celkem "&amp;SUM(D2:D19)&amp;" km"</f>
        <v>celkem 5207 km</v>
      </c>
      <c r="E1" s="10" t="s">
        <v>35</v>
      </c>
      <c r="F1" s="10" t="str">
        <f>"Nocí ve stanu (S): "&amp;COUNTIF(F2:F18,"S")&amp;" z "&amp;COUNTA(F2:F18)&amp;" ("&amp;TEXT(COUNTIF(F2:F18,"S")/COUNTA(F2:F18),"0,0%")&amp;")"</f>
        <v>Nocí ve stanu (S): 8 z 17 (47,1%)</v>
      </c>
      <c r="G1" s="11" t="str">
        <f>"cena za ubytování "&amp;SUM(G2:G19)&amp;" Kč"</f>
        <v>cena za ubytování 13033 Kč</v>
      </c>
      <c r="H1" s="10" t="s">
        <v>37</v>
      </c>
      <c r="I1" s="10" t="s">
        <v>31</v>
      </c>
      <c r="J1" s="12" t="s">
        <v>32</v>
      </c>
    </row>
    <row r="2" spans="1:10" s="4" customFormat="1" x14ac:dyDescent="0.25">
      <c r="A2" s="3">
        <v>46228</v>
      </c>
      <c r="B2" s="4" t="s">
        <v>0</v>
      </c>
      <c r="C2" s="4" t="s">
        <v>8</v>
      </c>
      <c r="D2" s="4">
        <v>673</v>
      </c>
      <c r="E2" s="4" t="s">
        <v>36</v>
      </c>
      <c r="F2" s="4" t="s">
        <v>48</v>
      </c>
      <c r="I2" s="4" t="s">
        <v>7</v>
      </c>
      <c r="J2" s="5"/>
    </row>
    <row r="3" spans="1:10" s="4" customFormat="1" x14ac:dyDescent="0.25">
      <c r="A3" s="3">
        <v>46229</v>
      </c>
      <c r="B3" s="4" t="s">
        <v>1</v>
      </c>
      <c r="C3" s="4" t="s">
        <v>17</v>
      </c>
      <c r="D3" s="4">
        <v>596</v>
      </c>
      <c r="E3" s="8" t="s">
        <v>39</v>
      </c>
      <c r="F3" s="8" t="s">
        <v>48</v>
      </c>
      <c r="G3" s="7">
        <v>2042</v>
      </c>
      <c r="H3" s="7" t="s">
        <v>38</v>
      </c>
      <c r="J3" s="5" t="s">
        <v>18</v>
      </c>
    </row>
    <row r="4" spans="1:10" x14ac:dyDescent="0.25">
      <c r="A4" s="6">
        <v>46230</v>
      </c>
      <c r="B4" s="1" t="s">
        <v>2</v>
      </c>
      <c r="C4" s="1" t="s">
        <v>19</v>
      </c>
      <c r="D4" s="1">
        <v>187</v>
      </c>
      <c r="F4" s="1" t="s">
        <v>49</v>
      </c>
      <c r="J4" s="2" t="s">
        <v>20</v>
      </c>
    </row>
    <row r="5" spans="1:10" ht="75" x14ac:dyDescent="0.25">
      <c r="A5" s="6">
        <v>46231</v>
      </c>
      <c r="B5" s="1" t="s">
        <v>3</v>
      </c>
      <c r="C5" s="1" t="s">
        <v>21</v>
      </c>
      <c r="D5" s="1">
        <v>123</v>
      </c>
      <c r="F5" s="1" t="s">
        <v>49</v>
      </c>
      <c r="J5" s="2" t="s">
        <v>22</v>
      </c>
    </row>
    <row r="6" spans="1:10" ht="90" x14ac:dyDescent="0.25">
      <c r="A6" s="6">
        <v>46232</v>
      </c>
      <c r="B6" s="1" t="s">
        <v>4</v>
      </c>
      <c r="C6" s="1" t="s">
        <v>25</v>
      </c>
      <c r="D6" s="1">
        <v>200</v>
      </c>
      <c r="F6" s="1" t="s">
        <v>49</v>
      </c>
      <c r="J6" s="2" t="s">
        <v>23</v>
      </c>
    </row>
    <row r="7" spans="1:10" ht="105" x14ac:dyDescent="0.25">
      <c r="A7" s="6">
        <v>46233</v>
      </c>
      <c r="B7" s="1" t="s">
        <v>5</v>
      </c>
      <c r="C7" s="1" t="s">
        <v>24</v>
      </c>
      <c r="D7" s="1">
        <v>166</v>
      </c>
      <c r="F7" s="1" t="s">
        <v>49</v>
      </c>
      <c r="J7" s="2" t="s">
        <v>34</v>
      </c>
    </row>
    <row r="8" spans="1:10" ht="45" x14ac:dyDescent="0.25">
      <c r="A8" s="6">
        <v>46234</v>
      </c>
      <c r="B8" s="1" t="s">
        <v>6</v>
      </c>
      <c r="C8" s="1" t="s">
        <v>40</v>
      </c>
      <c r="D8" s="1">
        <v>379</v>
      </c>
      <c r="E8" s="1" t="s">
        <v>41</v>
      </c>
      <c r="F8" s="1" t="s">
        <v>49</v>
      </c>
      <c r="G8" s="9">
        <v>632</v>
      </c>
      <c r="I8" s="1" t="s">
        <v>42</v>
      </c>
      <c r="J8" s="2" t="s">
        <v>26</v>
      </c>
    </row>
    <row r="9" spans="1:10" s="4" customFormat="1" x14ac:dyDescent="0.25">
      <c r="A9" s="3">
        <v>46235</v>
      </c>
      <c r="B9" s="4" t="s">
        <v>0</v>
      </c>
      <c r="C9" s="4" t="s">
        <v>43</v>
      </c>
      <c r="D9" s="4">
        <v>262</v>
      </c>
      <c r="E9" s="8" t="s">
        <v>45</v>
      </c>
      <c r="F9" s="8" t="s">
        <v>48</v>
      </c>
      <c r="G9" s="4">
        <v>2507</v>
      </c>
      <c r="H9" s="5" t="s">
        <v>50</v>
      </c>
      <c r="I9" s="4" t="s">
        <v>44</v>
      </c>
      <c r="J9" s="5"/>
    </row>
    <row r="10" spans="1:10" s="4" customFormat="1" ht="90" x14ac:dyDescent="0.25">
      <c r="A10" s="3">
        <v>46236</v>
      </c>
      <c r="B10" s="4" t="s">
        <v>1</v>
      </c>
      <c r="C10" s="4" t="s">
        <v>43</v>
      </c>
      <c r="D10" s="4">
        <v>26</v>
      </c>
      <c r="E10" s="8" t="s">
        <v>45</v>
      </c>
      <c r="F10" s="8" t="s">
        <v>48</v>
      </c>
      <c r="G10" s="4">
        <v>2507</v>
      </c>
      <c r="H10" s="5" t="s">
        <v>50</v>
      </c>
      <c r="I10" s="4" t="s">
        <v>28</v>
      </c>
      <c r="J10" s="5" t="s">
        <v>27</v>
      </c>
    </row>
    <row r="11" spans="1:10" ht="60" x14ac:dyDescent="0.25">
      <c r="A11" s="6">
        <v>46237</v>
      </c>
      <c r="B11" s="1" t="s">
        <v>2</v>
      </c>
      <c r="D11" s="1">
        <v>250</v>
      </c>
      <c r="E11" s="1" t="s">
        <v>46</v>
      </c>
      <c r="F11" s="1" t="s">
        <v>49</v>
      </c>
      <c r="G11" s="1">
        <v>545</v>
      </c>
      <c r="I11" s="1" t="s">
        <v>29</v>
      </c>
      <c r="J11" s="2" t="s">
        <v>30</v>
      </c>
    </row>
    <row r="12" spans="1:10" x14ac:dyDescent="0.25">
      <c r="A12" s="6">
        <v>46238</v>
      </c>
      <c r="B12" s="1" t="s">
        <v>3</v>
      </c>
      <c r="C12" s="1" t="s">
        <v>11</v>
      </c>
      <c r="D12" s="1">
        <v>217</v>
      </c>
      <c r="E12" s="1" t="s">
        <v>47</v>
      </c>
      <c r="F12" s="1" t="s">
        <v>48</v>
      </c>
      <c r="G12" s="1">
        <v>1200</v>
      </c>
    </row>
    <row r="13" spans="1:10" x14ac:dyDescent="0.25">
      <c r="A13" s="6">
        <v>46239</v>
      </c>
      <c r="B13" s="1" t="s">
        <v>4</v>
      </c>
      <c r="C13" s="1" t="s">
        <v>11</v>
      </c>
      <c r="E13" s="1" t="s">
        <v>47</v>
      </c>
      <c r="F13" s="1" t="s">
        <v>48</v>
      </c>
      <c r="G13" s="1">
        <v>1200</v>
      </c>
    </row>
    <row r="14" spans="1:10" x14ac:dyDescent="0.25">
      <c r="A14" s="6">
        <v>46240</v>
      </c>
      <c r="B14" s="1" t="s">
        <v>5</v>
      </c>
      <c r="C14" s="1" t="s">
        <v>11</v>
      </c>
      <c r="E14" s="1" t="s">
        <v>47</v>
      </c>
      <c r="F14" s="1" t="s">
        <v>48</v>
      </c>
      <c r="G14" s="1">
        <v>1200</v>
      </c>
    </row>
    <row r="15" spans="1:10" x14ac:dyDescent="0.25">
      <c r="A15" s="6">
        <v>46241</v>
      </c>
      <c r="B15" s="1" t="s">
        <v>6</v>
      </c>
      <c r="C15" s="1" t="s">
        <v>11</v>
      </c>
      <c r="E15" s="1" t="s">
        <v>47</v>
      </c>
      <c r="F15" s="1" t="s">
        <v>48</v>
      </c>
      <c r="G15" s="1">
        <v>1200</v>
      </c>
    </row>
    <row r="16" spans="1:10" s="4" customFormat="1" ht="30" x14ac:dyDescent="0.25">
      <c r="A16" s="3">
        <v>46242</v>
      </c>
      <c r="B16" s="4" t="s">
        <v>0</v>
      </c>
      <c r="C16" s="4" t="s">
        <v>16</v>
      </c>
      <c r="D16" s="4">
        <v>531</v>
      </c>
      <c r="F16" s="4" t="s">
        <v>49</v>
      </c>
      <c r="J16" s="5" t="s">
        <v>12</v>
      </c>
    </row>
    <row r="17" spans="1:10" s="4" customFormat="1" ht="30" x14ac:dyDescent="0.25">
      <c r="A17" s="3">
        <v>46243</v>
      </c>
      <c r="B17" s="4" t="s">
        <v>1</v>
      </c>
      <c r="C17" s="4" t="s">
        <v>14</v>
      </c>
      <c r="D17" s="4">
        <v>512</v>
      </c>
      <c r="F17" s="4" t="s">
        <v>49</v>
      </c>
      <c r="J17" s="5" t="s">
        <v>15</v>
      </c>
    </row>
    <row r="18" spans="1:10" ht="30" x14ac:dyDescent="0.25">
      <c r="A18" s="6">
        <v>46244</v>
      </c>
      <c r="B18" s="1" t="s">
        <v>2</v>
      </c>
      <c r="C18" s="1" t="s">
        <v>9</v>
      </c>
      <c r="D18" s="1">
        <v>412</v>
      </c>
      <c r="F18" s="1" t="s">
        <v>48</v>
      </c>
      <c r="I18" s="1" t="s">
        <v>10</v>
      </c>
      <c r="J18" s="2" t="s">
        <v>13</v>
      </c>
    </row>
    <row r="19" spans="1:10" x14ac:dyDescent="0.25">
      <c r="A19" s="6">
        <v>46245</v>
      </c>
      <c r="B19" s="1" t="s">
        <v>3</v>
      </c>
      <c r="D19" s="1">
        <v>673</v>
      </c>
    </row>
    <row r="20" spans="1:10" x14ac:dyDescent="0.25">
      <c r="A20" s="6"/>
    </row>
    <row r="21" spans="1:10" x14ac:dyDescent="0.25">
      <c r="A21" s="6"/>
    </row>
    <row r="22" spans="1:10" x14ac:dyDescent="0.25">
      <c r="A22" s="6"/>
    </row>
    <row r="23" spans="1:10" x14ac:dyDescent="0.25">
      <c r="A23" s="6"/>
    </row>
    <row r="24" spans="1:10" x14ac:dyDescent="0.25">
      <c r="A24" s="6"/>
    </row>
    <row r="25" spans="1:10" x14ac:dyDescent="0.25">
      <c r="A25" s="6"/>
    </row>
    <row r="26" spans="1:10" x14ac:dyDescent="0.25">
      <c r="A26" s="6"/>
    </row>
    <row r="27" spans="1:10" x14ac:dyDescent="0.25">
      <c r="A27" s="6"/>
    </row>
    <row r="28" spans="1:10" x14ac:dyDescent="0.25">
      <c r="A28" s="6"/>
    </row>
    <row r="29" spans="1:10" x14ac:dyDescent="0.25">
      <c r="A29" s="6"/>
    </row>
  </sheetData>
  <phoneticPr fontId="1" type="noConversion"/>
  <hyperlinks>
    <hyperlink ref="E3" r:id="rId1" xr:uid="{5FD11232-E3B9-43B3-B2DF-C4FDFD2834B7}"/>
    <hyperlink ref="E9" r:id="rId2" xr:uid="{FD36CD60-3A05-4113-AE75-00D3709057CF}"/>
    <hyperlink ref="E10" r:id="rId3" xr:uid="{C104B35D-8BA3-49B9-8F23-40A629C7AF6A}"/>
  </hyperlinks>
  <pageMargins left="0.7" right="0.7" top="0.78740157499999996" bottom="0.78740157499999996" header="0.3" footer="0.3"/>
  <pageSetup paperSize="9"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1</vt:i4>
      </vt:variant>
    </vt:vector>
  </HeadingPairs>
  <TitlesOfParts>
    <vt:vector size="1" baseType="lpstr">
      <vt:lpstr>List1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KRENEK Jiri</dc:creator>
  <cp:lastModifiedBy>KRENEK Jiri</cp:lastModifiedBy>
  <dcterms:created xsi:type="dcterms:W3CDTF">2026-07-12T18:21:49Z</dcterms:created>
  <dcterms:modified xsi:type="dcterms:W3CDTF">2026-07-13T21:32:18Z</dcterms:modified>
</cp:coreProperties>
</file>